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://inet.permapipe.com/permalert/RD/PALCOM HMI/1-Design Reviews and Specifications/GLS Suggestions/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6" i="1" l="1"/>
  <c r="I97" i="1"/>
  <c r="I96" i="1"/>
  <c r="D99" i="1"/>
  <c r="H96" i="1"/>
  <c r="H97" i="1"/>
  <c r="G97" i="1"/>
  <c r="F97" i="1"/>
  <c r="G96" i="1"/>
  <c r="F71" i="1"/>
  <c r="F96" i="1"/>
  <c r="J88" i="1"/>
  <c r="J87" i="1"/>
  <c r="J58" i="1"/>
  <c r="I88" i="1"/>
  <c r="I89" i="1"/>
  <c r="I87" i="1"/>
  <c r="D92" i="1"/>
  <c r="H88" i="1"/>
  <c r="H89" i="1"/>
  <c r="H87" i="1"/>
  <c r="F88" i="1"/>
  <c r="G88" i="1"/>
  <c r="F89" i="1"/>
  <c r="G89" i="1"/>
  <c r="G87" i="1"/>
  <c r="F87" i="1"/>
  <c r="G79" i="1"/>
  <c r="F79" i="1"/>
  <c r="H79" i="1" s="1"/>
  <c r="I79" i="1" s="1"/>
  <c r="H78" i="1"/>
  <c r="I78" i="1" s="1"/>
  <c r="G78" i="1"/>
  <c r="F78" i="1"/>
  <c r="G77" i="1"/>
  <c r="F77" i="1"/>
  <c r="H77" i="1" s="1"/>
  <c r="I77" i="1" s="1"/>
  <c r="G76" i="1"/>
  <c r="F76" i="1"/>
  <c r="H76" i="1" s="1"/>
  <c r="I76" i="1" s="1"/>
  <c r="G75" i="1"/>
  <c r="F75" i="1"/>
  <c r="H75" i="1" s="1"/>
  <c r="I75" i="1" s="1"/>
  <c r="H74" i="1"/>
  <c r="I74" i="1" s="1"/>
  <c r="G74" i="1"/>
  <c r="F74" i="1"/>
  <c r="I73" i="1"/>
  <c r="H73" i="1"/>
  <c r="G73" i="1"/>
  <c r="F73" i="1"/>
  <c r="G72" i="1"/>
  <c r="F72" i="1"/>
  <c r="H72" i="1" s="1"/>
  <c r="I72" i="1" s="1"/>
  <c r="G71" i="1"/>
  <c r="H71" i="1"/>
  <c r="J70" i="1"/>
  <c r="J59" i="1"/>
  <c r="I59" i="1"/>
  <c r="I60" i="1"/>
  <c r="I58" i="1"/>
  <c r="D63" i="1"/>
  <c r="H58" i="1"/>
  <c r="H60" i="1"/>
  <c r="H59" i="1"/>
  <c r="G60" i="1"/>
  <c r="F60" i="1"/>
  <c r="G59" i="1"/>
  <c r="F59" i="1"/>
  <c r="G58" i="1"/>
  <c r="F58" i="1"/>
  <c r="H50" i="1"/>
  <c r="I50" i="1" s="1"/>
  <c r="G50" i="1"/>
  <c r="F50" i="1"/>
  <c r="G49" i="1"/>
  <c r="H49" i="1" s="1"/>
  <c r="I49" i="1" s="1"/>
  <c r="F49" i="1"/>
  <c r="G48" i="1"/>
  <c r="F48" i="1"/>
  <c r="H48" i="1" s="1"/>
  <c r="I48" i="1" s="1"/>
  <c r="G47" i="1"/>
  <c r="F47" i="1"/>
  <c r="H47" i="1" s="1"/>
  <c r="I47" i="1" s="1"/>
  <c r="H46" i="1"/>
  <c r="I46" i="1" s="1"/>
  <c r="G46" i="1"/>
  <c r="F46" i="1"/>
  <c r="G45" i="1"/>
  <c r="H45" i="1" s="1"/>
  <c r="I45" i="1" s="1"/>
  <c r="F45" i="1"/>
  <c r="G44" i="1"/>
  <c r="F44" i="1"/>
  <c r="H44" i="1" s="1"/>
  <c r="I44" i="1" s="1"/>
  <c r="G43" i="1"/>
  <c r="F43" i="1"/>
  <c r="H43" i="1" s="1"/>
  <c r="I43" i="1" s="1"/>
  <c r="H42" i="1"/>
  <c r="G42" i="1"/>
  <c r="F42" i="1"/>
  <c r="J41" i="1"/>
  <c r="J23" i="1"/>
  <c r="J24" i="1"/>
  <c r="J25" i="1" s="1"/>
  <c r="J26" i="1" s="1"/>
  <c r="J27" i="1" s="1"/>
  <c r="J28" i="1" s="1"/>
  <c r="J29" i="1" s="1"/>
  <c r="J30" i="1" s="1"/>
  <c r="J22" i="1"/>
  <c r="J8" i="1"/>
  <c r="J9" i="1" s="1"/>
  <c r="J10" i="1" s="1"/>
  <c r="J11" i="1" s="1"/>
  <c r="J12" i="1" s="1"/>
  <c r="I23" i="1"/>
  <c r="I24" i="1"/>
  <c r="I25" i="1"/>
  <c r="I26" i="1"/>
  <c r="I27" i="1"/>
  <c r="I28" i="1"/>
  <c r="I29" i="1"/>
  <c r="I30" i="1"/>
  <c r="I22" i="1"/>
  <c r="I12" i="1"/>
  <c r="J7" i="1"/>
  <c r="I9" i="1"/>
  <c r="I10" i="1"/>
  <c r="I11" i="1"/>
  <c r="I8" i="1"/>
  <c r="D14" i="1"/>
  <c r="H8" i="1"/>
  <c r="F30" i="1"/>
  <c r="F29" i="1"/>
  <c r="H22" i="1"/>
  <c r="H24" i="1"/>
  <c r="H25" i="1"/>
  <c r="H27" i="1"/>
  <c r="H28" i="1"/>
  <c r="G23" i="1"/>
  <c r="G24" i="1"/>
  <c r="G25" i="1"/>
  <c r="G26" i="1"/>
  <c r="G27" i="1"/>
  <c r="G28" i="1"/>
  <c r="G29" i="1"/>
  <c r="H29" i="1" s="1"/>
  <c r="G30" i="1"/>
  <c r="H30" i="1" s="1"/>
  <c r="G22" i="1"/>
  <c r="F23" i="1"/>
  <c r="H23" i="1" s="1"/>
  <c r="D32" i="1" s="1"/>
  <c r="J21" i="1" s="1"/>
  <c r="F24" i="1"/>
  <c r="F25" i="1"/>
  <c r="F26" i="1"/>
  <c r="H26" i="1" s="1"/>
  <c r="F27" i="1"/>
  <c r="F28" i="1"/>
  <c r="F8" i="1"/>
  <c r="F22" i="1"/>
  <c r="G8" i="1"/>
  <c r="G9" i="1"/>
  <c r="G10" i="1"/>
  <c r="G11" i="1"/>
  <c r="G12" i="1"/>
  <c r="F9" i="1"/>
  <c r="H9" i="1" s="1"/>
  <c r="F10" i="1"/>
  <c r="H10" i="1" s="1"/>
  <c r="F11" i="1"/>
  <c r="H11" i="1" s="1"/>
  <c r="F12" i="1"/>
  <c r="H12" i="1" s="1"/>
  <c r="I71" i="1" l="1"/>
  <c r="J72" i="1" s="1"/>
  <c r="J73" i="1" s="1"/>
  <c r="J75" i="1" s="1"/>
  <c r="J76" i="1" s="1"/>
  <c r="J77" i="1" s="1"/>
  <c r="J78" i="1" s="1"/>
  <c r="J79" i="1" s="1"/>
  <c r="D81" i="1"/>
  <c r="D52" i="1"/>
  <c r="J43" i="1"/>
  <c r="J44" i="1" s="1"/>
  <c r="J45" i="1" s="1"/>
  <c r="J46" i="1" s="1"/>
  <c r="J47" i="1" s="1"/>
  <c r="J48" i="1" s="1"/>
  <c r="J49" i="1" s="1"/>
  <c r="J50" i="1" s="1"/>
  <c r="I42" i="1"/>
  <c r="J42" i="1" s="1"/>
</calcChain>
</file>

<file path=xl/sharedStrings.xml><?xml version="1.0" encoding="utf-8"?>
<sst xmlns="http://schemas.openxmlformats.org/spreadsheetml/2006/main" count="54" uniqueCount="24">
  <si>
    <t>X</t>
  </si>
  <si>
    <t>Y</t>
  </si>
  <si>
    <t>Delta X</t>
  </si>
  <si>
    <t>Delta Y</t>
  </si>
  <si>
    <t>Calculated Total Length</t>
  </si>
  <si>
    <t>Calibration Points</t>
  </si>
  <si>
    <t>section Length (from seciton Data)</t>
  </si>
  <si>
    <t>Calculated 
Segment Length</t>
  </si>
  <si>
    <t>Step 2 values - Assign Cable</t>
  </si>
  <si>
    <t>Step 3 values - Add Calibration Points (Unchanged)</t>
  </si>
  <si>
    <t>Calibration Pionts Highlighted</t>
  </si>
  <si>
    <t>section Start (from section Data)</t>
  </si>
  <si>
    <t>% Total</t>
  </si>
  <si>
    <t>In Calibration Table</t>
  </si>
  <si>
    <t xml:space="preserve">Resultes in recalcuation up to </t>
  </si>
  <si>
    <t>Manually Calibrated</t>
  </si>
  <si>
    <t xml:space="preserve">Calculated Sub Segment Total </t>
  </si>
  <si>
    <t xml:space="preserve">Calibration Math 1 </t>
  </si>
  <si>
    <t>Calculated Sub Segment Total</t>
  </si>
  <si>
    <t xml:space="preserve">Resultes in recalcuation up to 222,240 </t>
  </si>
  <si>
    <t>Calibration Math Left Segment</t>
  </si>
  <si>
    <t>Calibration Math Right Segment</t>
  </si>
  <si>
    <t>Step 4  values - Update Calibration Piont at 272,78</t>
  </si>
  <si>
    <t>Step 5 values - Update Calibration Piont at 221,196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</si>
</sst>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0" fillId="2" borderId="0" xfId="0" applyFont="1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L99"/>
  <sheetViews>
    <sheetView tabSelected="1" workbookViewId="0">
      <selection activeCell="C67" sqref="C67"/>
    </sheetView>
  </sheetViews>
  <sheetFormatPr defaultRowHeight="15" x14ac:dyDescent="0.25"/>
  <cols>
    <col min="3" max="3" width="32" bestFit="1" customWidth="1"/>
    <col min="7" max="7" width="7.140625" bestFit="1" customWidth="1"/>
    <col min="8" max="8" width="24.42578125" bestFit="1" customWidth="1"/>
    <col min="9" max="9" width="24.42578125" customWidth="1"/>
    <col min="10" max="10" width="14.28515625" bestFit="1" customWidth="1"/>
  </cols>
  <sheetData>
    <row r="4" spans="3:12" x14ac:dyDescent="0.25">
      <c r="C4" t="s">
        <v>8</v>
      </c>
    </row>
    <row r="5" spans="3:12" x14ac:dyDescent="0.25">
      <c r="K5" s="5"/>
      <c r="L5" t="s">
        <v>13</v>
      </c>
    </row>
    <row r="6" spans="3:12" ht="30" x14ac:dyDescent="0.25">
      <c r="D6" t="s">
        <v>0</v>
      </c>
      <c r="E6" t="s">
        <v>1</v>
      </c>
      <c r="F6" t="s">
        <v>2</v>
      </c>
      <c r="G6" t="s">
        <v>3</v>
      </c>
      <c r="H6" s="1" t="s">
        <v>7</v>
      </c>
      <c r="I6" s="1" t="s">
        <v>12</v>
      </c>
      <c r="J6" t="s">
        <v>5</v>
      </c>
    </row>
    <row r="7" spans="3:12" x14ac:dyDescent="0.25">
      <c r="D7">
        <v>100</v>
      </c>
      <c r="E7">
        <v>110</v>
      </c>
      <c r="J7" s="5">
        <f>($D$15-$D$16)*I7 + $D$16</f>
        <v>200</v>
      </c>
    </row>
    <row r="8" spans="3:12" x14ac:dyDescent="0.25">
      <c r="D8">
        <v>328</v>
      </c>
      <c r="E8">
        <v>68</v>
      </c>
      <c r="F8">
        <f>D8-D7</f>
        <v>228</v>
      </c>
      <c r="G8">
        <f>E7-E8</f>
        <v>42</v>
      </c>
      <c r="H8">
        <f>SQRT(F8^2 + G8^2)</f>
        <v>231.83614903633989</v>
      </c>
      <c r="I8">
        <f>H8/$D$14</f>
        <v>0.18369657833627909</v>
      </c>
      <c r="J8" s="5">
        <f>($D$15-$D$16)*I8 + J7</f>
        <v>291.84828916813956</v>
      </c>
    </row>
    <row r="9" spans="3:12" x14ac:dyDescent="0.25">
      <c r="D9">
        <v>272</v>
      </c>
      <c r="E9">
        <v>207</v>
      </c>
      <c r="F9">
        <f>D9-D8</f>
        <v>-56</v>
      </c>
      <c r="G9">
        <f>E8-E9</f>
        <v>-139</v>
      </c>
      <c r="H9">
        <f>SQRT(F9^2 + G9^2)</f>
        <v>149.85659811966906</v>
      </c>
      <c r="I9">
        <f t="shared" ref="I9:I12" si="0">H9/$D$14</f>
        <v>0.11873965483865544</v>
      </c>
      <c r="J9" s="5">
        <f t="shared" ref="J9:J12" si="1">($D$15-$D$16)*I9 + J8</f>
        <v>351.21811658746731</v>
      </c>
    </row>
    <row r="10" spans="3:12" x14ac:dyDescent="0.25">
      <c r="D10">
        <v>78</v>
      </c>
      <c r="E10">
        <v>155</v>
      </c>
      <c r="F10">
        <f>D10-D9</f>
        <v>-194</v>
      </c>
      <c r="G10">
        <f>E9-E10</f>
        <v>52</v>
      </c>
      <c r="H10">
        <f>SQRT(F10^2 + G10^2)</f>
        <v>200.84820138602188</v>
      </c>
      <c r="I10">
        <f t="shared" si="0"/>
        <v>0.15914311686494104</v>
      </c>
      <c r="J10" s="5">
        <f t="shared" si="1"/>
        <v>430.78967501993782</v>
      </c>
    </row>
    <row r="11" spans="3:12" x14ac:dyDescent="0.25">
      <c r="D11">
        <v>455</v>
      </c>
      <c r="E11">
        <v>374</v>
      </c>
      <c r="F11">
        <f>D11-D10</f>
        <v>377</v>
      </c>
      <c r="G11">
        <f>E10-E11</f>
        <v>-219</v>
      </c>
      <c r="H11">
        <f>SQRT(F11^2 + G11^2)</f>
        <v>435.99311921176002</v>
      </c>
      <c r="I11">
        <f t="shared" si="0"/>
        <v>0.3454614153585156</v>
      </c>
      <c r="J11" s="5">
        <f t="shared" si="1"/>
        <v>603.52038269919558</v>
      </c>
    </row>
    <row r="12" spans="3:12" x14ac:dyDescent="0.25">
      <c r="D12">
        <v>322</v>
      </c>
      <c r="E12">
        <v>170</v>
      </c>
      <c r="F12">
        <f>D12-D11</f>
        <v>-133</v>
      </c>
      <c r="G12">
        <f>E11-E12</f>
        <v>204</v>
      </c>
      <c r="H12">
        <f>SQRT(F12^2 + G12^2)</f>
        <v>243.52617929085162</v>
      </c>
      <c r="I12">
        <f>H12/$D$14</f>
        <v>0.19295923460160888</v>
      </c>
      <c r="J12">
        <f t="shared" si="1"/>
        <v>700</v>
      </c>
    </row>
    <row r="14" spans="3:12" x14ac:dyDescent="0.25">
      <c r="C14" t="s">
        <v>4</v>
      </c>
      <c r="D14">
        <f>SUM(H8:H12)</f>
        <v>1262.0602470446424</v>
      </c>
    </row>
    <row r="15" spans="3:12" x14ac:dyDescent="0.25">
      <c r="C15" t="s">
        <v>6</v>
      </c>
      <c r="D15">
        <v>700</v>
      </c>
    </row>
    <row r="16" spans="3:12" x14ac:dyDescent="0.25">
      <c r="C16" t="s">
        <v>11</v>
      </c>
      <c r="D16">
        <v>200</v>
      </c>
    </row>
    <row r="18" spans="3:10" x14ac:dyDescent="0.25">
      <c r="C18" t="s">
        <v>9</v>
      </c>
    </row>
    <row r="19" spans="3:10" x14ac:dyDescent="0.25">
      <c r="C19" t="s">
        <v>10</v>
      </c>
    </row>
    <row r="20" spans="3:10" ht="30" x14ac:dyDescent="0.25">
      <c r="D20" t="s">
        <v>0</v>
      </c>
      <c r="E20" t="s">
        <v>1</v>
      </c>
      <c r="F20" t="s">
        <v>2</v>
      </c>
      <c r="G20" t="s">
        <v>3</v>
      </c>
      <c r="H20" s="1" t="s">
        <v>7</v>
      </c>
      <c r="I20" s="1" t="s">
        <v>12</v>
      </c>
      <c r="J20" t="s">
        <v>5</v>
      </c>
    </row>
    <row r="21" spans="3:10" x14ac:dyDescent="0.25">
      <c r="D21">
        <v>100</v>
      </c>
      <c r="E21">
        <v>110</v>
      </c>
      <c r="J21" s="5">
        <f>200+(D33-200)*H21/$D$32</f>
        <v>200</v>
      </c>
    </row>
    <row r="22" spans="3:10" x14ac:dyDescent="0.25">
      <c r="D22" s="3">
        <v>272</v>
      </c>
      <c r="E22" s="3">
        <v>78</v>
      </c>
      <c r="F22">
        <f>D21-D22</f>
        <v>-172</v>
      </c>
      <c r="G22">
        <f>E21-E22</f>
        <v>32</v>
      </c>
      <c r="H22">
        <f>SQRT(F22^2 + G22^2)</f>
        <v>174.95142182903231</v>
      </c>
      <c r="I22">
        <f>H22/$D$32</f>
        <v>0.13860516619962721</v>
      </c>
      <c r="J22" s="5">
        <f>(D$33-D$34)*I22+J21</f>
        <v>269.3025830998136</v>
      </c>
    </row>
    <row r="23" spans="3:10" x14ac:dyDescent="0.25">
      <c r="D23">
        <v>328</v>
      </c>
      <c r="E23">
        <v>68</v>
      </c>
      <c r="F23">
        <f t="shared" ref="F23:F28" si="2">D22-D23</f>
        <v>-56</v>
      </c>
      <c r="G23">
        <f t="shared" ref="G23:G30" si="3">E22-E23</f>
        <v>10</v>
      </c>
      <c r="H23">
        <f>SQRT(F23^2 + G23^2)</f>
        <v>56.885850613311568</v>
      </c>
      <c r="I23">
        <f t="shared" ref="I23:I30" si="4">H23/$D$32</f>
        <v>4.5067783366575603E-2</v>
      </c>
      <c r="J23" s="5">
        <f t="shared" ref="J23:J30" si="5">(D$33-D$34)*I23+J22</f>
        <v>291.83647478310138</v>
      </c>
    </row>
    <row r="24" spans="3:10" x14ac:dyDescent="0.25">
      <c r="D24">
        <v>272</v>
      </c>
      <c r="E24">
        <v>207</v>
      </c>
      <c r="F24">
        <f t="shared" si="2"/>
        <v>56</v>
      </c>
      <c r="G24">
        <f t="shared" si="3"/>
        <v>-139</v>
      </c>
      <c r="H24">
        <f t="shared" ref="H24:H29" si="6">SQRT(F24^2 + G24^2)</f>
        <v>149.85659811966906</v>
      </c>
      <c r="I24">
        <f t="shared" si="4"/>
        <v>0.11872380613622795</v>
      </c>
      <c r="J24" s="5">
        <f t="shared" si="5"/>
        <v>351.19837785121535</v>
      </c>
    </row>
    <row r="25" spans="3:10" x14ac:dyDescent="0.25">
      <c r="D25" s="4">
        <v>221</v>
      </c>
      <c r="E25" s="4">
        <v>196</v>
      </c>
      <c r="F25">
        <f t="shared" si="2"/>
        <v>51</v>
      </c>
      <c r="G25">
        <f t="shared" si="3"/>
        <v>11</v>
      </c>
      <c r="H25">
        <f t="shared" si="6"/>
        <v>52.172789842982326</v>
      </c>
      <c r="I25">
        <f t="shared" si="4"/>
        <v>4.1333863604444111E-2</v>
      </c>
      <c r="J25" s="5">
        <f t="shared" si="5"/>
        <v>371.86530965343741</v>
      </c>
    </row>
    <row r="26" spans="3:10" x14ac:dyDescent="0.25">
      <c r="D26">
        <v>78</v>
      </c>
      <c r="E26">
        <v>155</v>
      </c>
      <c r="F26">
        <f t="shared" si="2"/>
        <v>143</v>
      </c>
      <c r="G26">
        <f t="shared" si="3"/>
        <v>41</v>
      </c>
      <c r="H26">
        <f t="shared" si="6"/>
        <v>148.7615541731129</v>
      </c>
      <c r="I26">
        <f t="shared" si="4"/>
        <v>0.11785625818136403</v>
      </c>
      <c r="J26" s="5">
        <f t="shared" si="5"/>
        <v>430.79343874411944</v>
      </c>
    </row>
    <row r="27" spans="3:10" x14ac:dyDescent="0.25">
      <c r="D27" s="3">
        <v>222</v>
      </c>
      <c r="E27" s="3">
        <v>240</v>
      </c>
      <c r="F27">
        <f t="shared" si="2"/>
        <v>-144</v>
      </c>
      <c r="G27">
        <f t="shared" si="3"/>
        <v>-85</v>
      </c>
      <c r="H27">
        <f t="shared" si="6"/>
        <v>167.21542991004151</v>
      </c>
      <c r="I27">
        <f t="shared" si="4"/>
        <v>0.13247633092386404</v>
      </c>
      <c r="J27" s="5">
        <f t="shared" si="5"/>
        <v>497.0316042060515</v>
      </c>
    </row>
    <row r="28" spans="3:10" x14ac:dyDescent="0.25">
      <c r="D28">
        <v>455</v>
      </c>
      <c r="E28">
        <v>374</v>
      </c>
      <c r="F28">
        <f t="shared" si="2"/>
        <v>-233</v>
      </c>
      <c r="G28">
        <f t="shared" si="3"/>
        <v>-134</v>
      </c>
      <c r="H28">
        <f t="shared" si="6"/>
        <v>268.78430013674534</v>
      </c>
      <c r="I28">
        <f t="shared" si="4"/>
        <v>0.21294421161498561</v>
      </c>
      <c r="J28" s="5">
        <f t="shared" si="5"/>
        <v>603.50371001354426</v>
      </c>
    </row>
    <row r="29" spans="3:10" x14ac:dyDescent="0.25">
      <c r="D29" s="3">
        <v>379</v>
      </c>
      <c r="E29" s="3">
        <v>252</v>
      </c>
      <c r="F29">
        <f>D28-D29</f>
        <v>76</v>
      </c>
      <c r="G29">
        <f t="shared" si="3"/>
        <v>122</v>
      </c>
      <c r="H29">
        <f t="shared" si="6"/>
        <v>143.73586887064761</v>
      </c>
      <c r="I29">
        <f t="shared" si="4"/>
        <v>0.11387466180830939</v>
      </c>
      <c r="J29" s="5">
        <f t="shared" si="5"/>
        <v>660.44104091769896</v>
      </c>
    </row>
    <row r="30" spans="3:10" x14ac:dyDescent="0.25">
      <c r="D30">
        <v>322</v>
      </c>
      <c r="E30">
        <v>170</v>
      </c>
      <c r="F30">
        <f>D29-D30</f>
        <v>57</v>
      </c>
      <c r="G30">
        <f t="shared" si="3"/>
        <v>82</v>
      </c>
      <c r="H30">
        <f>SQRT(F30^2 + G30^2)</f>
        <v>99.864908751773257</v>
      </c>
      <c r="I30">
        <f t="shared" si="4"/>
        <v>7.9117918164601966E-2</v>
      </c>
      <c r="J30">
        <f t="shared" si="5"/>
        <v>699.99999999999989</v>
      </c>
    </row>
    <row r="32" spans="3:10" x14ac:dyDescent="0.25">
      <c r="C32" t="s">
        <v>4</v>
      </c>
      <c r="D32">
        <f>SUM(H22:H30)</f>
        <v>1262.228722247316</v>
      </c>
    </row>
    <row r="33" spans="3:11" x14ac:dyDescent="0.25">
      <c r="C33" t="s">
        <v>6</v>
      </c>
      <c r="D33">
        <v>700</v>
      </c>
    </row>
    <row r="34" spans="3:11" x14ac:dyDescent="0.25">
      <c r="C34" t="s">
        <v>11</v>
      </c>
      <c r="D34">
        <v>200</v>
      </c>
    </row>
    <row r="38" spans="3:11" x14ac:dyDescent="0.25">
      <c r="C38" s="2" t="s">
        <v>22</v>
      </c>
    </row>
    <row r="39" spans="3:11" x14ac:dyDescent="0.25">
      <c r="C39" s="2" t="s">
        <v>14</v>
      </c>
    </row>
    <row r="40" spans="3:11" ht="30" x14ac:dyDescent="0.25">
      <c r="D40" t="s">
        <v>0</v>
      </c>
      <c r="E40" t="s">
        <v>1</v>
      </c>
      <c r="F40" t="s">
        <v>2</v>
      </c>
      <c r="G40" t="s">
        <v>3</v>
      </c>
      <c r="H40" s="1" t="s">
        <v>7</v>
      </c>
      <c r="I40" s="1" t="s">
        <v>12</v>
      </c>
      <c r="K40" t="s">
        <v>15</v>
      </c>
    </row>
    <row r="41" spans="3:11" x14ac:dyDescent="0.25">
      <c r="D41">
        <v>100</v>
      </c>
      <c r="E41">
        <v>110</v>
      </c>
      <c r="J41" s="6">
        <f>200+(D53-200)*H41/$D$32</f>
        <v>200</v>
      </c>
    </row>
    <row r="42" spans="3:11" x14ac:dyDescent="0.25">
      <c r="D42" s="3">
        <v>272</v>
      </c>
      <c r="E42" s="3">
        <v>78</v>
      </c>
      <c r="F42">
        <f>D41-D42</f>
        <v>-172</v>
      </c>
      <c r="G42">
        <f>E41-E42</f>
        <v>32</v>
      </c>
      <c r="H42">
        <f>SQRT(F42^2 + G42^2)</f>
        <v>174.95142182903231</v>
      </c>
      <c r="I42">
        <f>H42/$D$32</f>
        <v>0.13860516619962721</v>
      </c>
      <c r="J42" s="5">
        <f>(D$33-D$34)*I42+J41</f>
        <v>269.3025830998136</v>
      </c>
      <c r="K42">
        <v>300</v>
      </c>
    </row>
    <row r="43" spans="3:11" x14ac:dyDescent="0.25">
      <c r="D43">
        <v>328</v>
      </c>
      <c r="E43">
        <v>68</v>
      </c>
      <c r="F43">
        <f t="shared" ref="F43:F48" si="7">D42-D43</f>
        <v>-56</v>
      </c>
      <c r="G43">
        <f t="shared" ref="G43:G50" si="8">E42-E43</f>
        <v>10</v>
      </c>
      <c r="H43">
        <f>SQRT(F43^2 + G43^2)</f>
        <v>56.885850613311568</v>
      </c>
      <c r="I43">
        <f t="shared" ref="I43:I50" si="9">H43/$D$32</f>
        <v>4.5067783366575603E-2</v>
      </c>
      <c r="J43" s="5">
        <f t="shared" ref="J43:J50" si="10">(D$33-D$34)*I43+J42</f>
        <v>291.83647478310138</v>
      </c>
    </row>
    <row r="44" spans="3:11" x14ac:dyDescent="0.25">
      <c r="D44">
        <v>272</v>
      </c>
      <c r="E44">
        <v>207</v>
      </c>
      <c r="F44">
        <f t="shared" si="7"/>
        <v>56</v>
      </c>
      <c r="G44">
        <f t="shared" si="8"/>
        <v>-139</v>
      </c>
      <c r="H44">
        <f t="shared" ref="H44:H49" si="11">SQRT(F44^2 + G44^2)</f>
        <v>149.85659811966906</v>
      </c>
      <c r="I44">
        <f t="shared" si="9"/>
        <v>0.11872380613622795</v>
      </c>
      <c r="J44" s="5">
        <f t="shared" si="10"/>
        <v>351.19837785121535</v>
      </c>
    </row>
    <row r="45" spans="3:11" x14ac:dyDescent="0.25">
      <c r="D45" s="4">
        <v>221</v>
      </c>
      <c r="E45" s="4">
        <v>196</v>
      </c>
      <c r="F45">
        <f t="shared" si="7"/>
        <v>51</v>
      </c>
      <c r="G45">
        <f t="shared" si="8"/>
        <v>11</v>
      </c>
      <c r="H45">
        <f t="shared" si="11"/>
        <v>52.172789842982326</v>
      </c>
      <c r="I45">
        <f t="shared" si="9"/>
        <v>4.1333863604444111E-2</v>
      </c>
      <c r="J45" s="6">
        <f t="shared" si="10"/>
        <v>371.86530965343741</v>
      </c>
    </row>
    <row r="46" spans="3:11" x14ac:dyDescent="0.25">
      <c r="D46" s="6">
        <v>78</v>
      </c>
      <c r="E46" s="6">
        <v>155</v>
      </c>
      <c r="F46" s="6">
        <f t="shared" si="7"/>
        <v>143</v>
      </c>
      <c r="G46" s="6">
        <f t="shared" si="8"/>
        <v>41</v>
      </c>
      <c r="H46" s="6">
        <f t="shared" si="11"/>
        <v>148.7615541731129</v>
      </c>
      <c r="I46" s="6">
        <f t="shared" si="9"/>
        <v>0.11785625818136403</v>
      </c>
      <c r="J46" s="6">
        <f t="shared" si="10"/>
        <v>430.79343874411944</v>
      </c>
    </row>
    <row r="47" spans="3:11" x14ac:dyDescent="0.25">
      <c r="D47" s="3">
        <v>222</v>
      </c>
      <c r="E47" s="3">
        <v>240</v>
      </c>
      <c r="F47" s="6">
        <f t="shared" si="7"/>
        <v>-144</v>
      </c>
      <c r="G47" s="6">
        <f t="shared" si="8"/>
        <v>-85</v>
      </c>
      <c r="H47" s="6">
        <f t="shared" si="11"/>
        <v>167.21542991004151</v>
      </c>
      <c r="I47" s="6">
        <f t="shared" si="9"/>
        <v>0.13247633092386404</v>
      </c>
      <c r="J47" s="6">
        <f t="shared" si="10"/>
        <v>497.0316042060515</v>
      </c>
    </row>
    <row r="48" spans="3:11" x14ac:dyDescent="0.25">
      <c r="D48" s="6">
        <v>455</v>
      </c>
      <c r="E48" s="6">
        <v>374</v>
      </c>
      <c r="F48" s="6">
        <f t="shared" si="7"/>
        <v>-233</v>
      </c>
      <c r="G48" s="6">
        <f t="shared" si="8"/>
        <v>-134</v>
      </c>
      <c r="H48" s="6">
        <f t="shared" si="11"/>
        <v>268.78430013674534</v>
      </c>
      <c r="I48" s="6">
        <f t="shared" si="9"/>
        <v>0.21294421161498561</v>
      </c>
      <c r="J48" s="6">
        <f t="shared" si="10"/>
        <v>603.50371001354426</v>
      </c>
    </row>
    <row r="49" spans="3:10" x14ac:dyDescent="0.25">
      <c r="D49" s="3">
        <v>379</v>
      </c>
      <c r="E49" s="3">
        <v>252</v>
      </c>
      <c r="F49" s="6">
        <f>D48-D49</f>
        <v>76</v>
      </c>
      <c r="G49" s="6">
        <f t="shared" si="8"/>
        <v>122</v>
      </c>
      <c r="H49" s="6">
        <f t="shared" si="11"/>
        <v>143.73586887064761</v>
      </c>
      <c r="I49" s="6">
        <f t="shared" si="9"/>
        <v>0.11387466180830939</v>
      </c>
      <c r="J49" s="6">
        <f t="shared" si="10"/>
        <v>660.44104091769896</v>
      </c>
    </row>
    <row r="50" spans="3:10" x14ac:dyDescent="0.25">
      <c r="D50">
        <v>322</v>
      </c>
      <c r="E50">
        <v>170</v>
      </c>
      <c r="F50">
        <f>D49-D50</f>
        <v>57</v>
      </c>
      <c r="G50">
        <f t="shared" si="8"/>
        <v>82</v>
      </c>
      <c r="H50">
        <f>SQRT(F50^2 + G50^2)</f>
        <v>99.864908751773257</v>
      </c>
      <c r="I50">
        <f t="shared" si="9"/>
        <v>7.9117918164601966E-2</v>
      </c>
      <c r="J50" s="6">
        <f t="shared" si="10"/>
        <v>699.99999999999989</v>
      </c>
    </row>
    <row r="52" spans="3:10" x14ac:dyDescent="0.25">
      <c r="C52" t="s">
        <v>4</v>
      </c>
      <c r="D52">
        <f>SUM(H42:H50)</f>
        <v>1262.228722247316</v>
      </c>
    </row>
    <row r="53" spans="3:10" x14ac:dyDescent="0.25">
      <c r="C53" t="s">
        <v>6</v>
      </c>
      <c r="D53">
        <v>700</v>
      </c>
    </row>
    <row r="54" spans="3:10" x14ac:dyDescent="0.25">
      <c r="C54" t="s">
        <v>11</v>
      </c>
      <c r="D54">
        <v>200</v>
      </c>
    </row>
    <row r="57" spans="3:10" x14ac:dyDescent="0.25">
      <c r="C57" s="2" t="s">
        <v>17</v>
      </c>
      <c r="D57" s="3">
        <v>272</v>
      </c>
      <c r="E57" s="3">
        <v>78</v>
      </c>
      <c r="J57">
        <v>300</v>
      </c>
    </row>
    <row r="58" spans="3:10" x14ac:dyDescent="0.25">
      <c r="D58">
        <v>328</v>
      </c>
      <c r="E58">
        <v>68</v>
      </c>
      <c r="F58">
        <f>D57-D58</f>
        <v>-56</v>
      </c>
      <c r="G58">
        <f>E57-E58</f>
        <v>10</v>
      </c>
      <c r="H58">
        <f>SQRT(F58^2 + G58^2)</f>
        <v>56.885850613311568</v>
      </c>
      <c r="I58">
        <f>H58/$D$63</f>
        <v>0.21970839154228414</v>
      </c>
      <c r="J58" s="5">
        <f>($J$60-$J$57)*I58+J57</f>
        <v>315.78941159164492</v>
      </c>
    </row>
    <row r="59" spans="3:10" x14ac:dyDescent="0.25">
      <c r="D59">
        <v>272</v>
      </c>
      <c r="E59">
        <v>207</v>
      </c>
      <c r="F59">
        <f t="shared" ref="F59:F61" si="12">D58-D59</f>
        <v>56</v>
      </c>
      <c r="G59">
        <f t="shared" ref="G59:G61" si="13">E58-E59</f>
        <v>-139</v>
      </c>
      <c r="H59">
        <f>SQRT(F59^2 + G59^2)</f>
        <v>149.85659811966906</v>
      </c>
      <c r="I59">
        <f t="shared" ref="I59:I60" si="14">H59/$D$63</f>
        <v>0.57878631997051333</v>
      </c>
      <c r="J59" s="5">
        <f>($J$60-$J$57)*I59+J58</f>
        <v>357.38406969949938</v>
      </c>
    </row>
    <row r="60" spans="3:10" x14ac:dyDescent="0.25">
      <c r="D60" s="3">
        <v>221</v>
      </c>
      <c r="E60" s="3">
        <v>196</v>
      </c>
      <c r="F60">
        <f t="shared" si="12"/>
        <v>51</v>
      </c>
      <c r="G60">
        <f t="shared" si="13"/>
        <v>11</v>
      </c>
      <c r="H60">
        <f>SQRT(F60^2 + G60^2)</f>
        <v>52.172789842982326</v>
      </c>
      <c r="I60">
        <f t="shared" si="14"/>
        <v>0.20150528848720273</v>
      </c>
      <c r="J60">
        <v>371.86530965343741</v>
      </c>
    </row>
    <row r="63" spans="3:10" x14ac:dyDescent="0.25">
      <c r="C63" t="s">
        <v>16</v>
      </c>
      <c r="D63">
        <f>SUM(H58:H60)</f>
        <v>258.91523857596292</v>
      </c>
    </row>
    <row r="67" spans="3:11" x14ac:dyDescent="0.25">
      <c r="C67" s="2" t="s">
        <v>23</v>
      </c>
    </row>
    <row r="68" spans="3:11" x14ac:dyDescent="0.25">
      <c r="C68" s="2" t="s">
        <v>19</v>
      </c>
    </row>
    <row r="69" spans="3:11" ht="30" x14ac:dyDescent="0.25">
      <c r="D69" t="s">
        <v>0</v>
      </c>
      <c r="E69" t="s">
        <v>1</v>
      </c>
      <c r="F69" t="s">
        <v>2</v>
      </c>
      <c r="G69" t="s">
        <v>3</v>
      </c>
      <c r="H69" s="1" t="s">
        <v>7</v>
      </c>
      <c r="I69" s="1" t="s">
        <v>12</v>
      </c>
      <c r="K69" t="s">
        <v>15</v>
      </c>
    </row>
    <row r="70" spans="3:11" x14ac:dyDescent="0.25">
      <c r="D70">
        <v>100</v>
      </c>
      <c r="E70">
        <v>110</v>
      </c>
      <c r="J70" s="6">
        <f>200+(D82-200)*H70/$D$32</f>
        <v>200</v>
      </c>
    </row>
    <row r="71" spans="3:11" x14ac:dyDescent="0.25">
      <c r="D71" s="3">
        <v>272</v>
      </c>
      <c r="E71" s="3">
        <v>78</v>
      </c>
      <c r="F71">
        <f>D70-D71</f>
        <v>-172</v>
      </c>
      <c r="G71">
        <f>E70-E71</f>
        <v>32</v>
      </c>
      <c r="H71">
        <f>SQRT(F71^2 + G71^2)</f>
        <v>174.95142182903231</v>
      </c>
      <c r="I71">
        <f>H71/$D$32</f>
        <v>0.13860516619962721</v>
      </c>
      <c r="J71" s="5">
        <v>300</v>
      </c>
    </row>
    <row r="72" spans="3:11" x14ac:dyDescent="0.25">
      <c r="D72">
        <v>328</v>
      </c>
      <c r="E72">
        <v>68</v>
      </c>
      <c r="F72">
        <f t="shared" ref="F72:F77" si="15">D71-D72</f>
        <v>-56</v>
      </c>
      <c r="G72">
        <f t="shared" ref="G72:G79" si="16">E71-E72</f>
        <v>10</v>
      </c>
      <c r="H72">
        <f>SQRT(F72^2 + G72^2)</f>
        <v>56.885850613311568</v>
      </c>
      <c r="I72">
        <f t="shared" ref="I72:I79" si="17">H72/$D$32</f>
        <v>4.5067783366575603E-2</v>
      </c>
      <c r="J72" s="5">
        <f t="shared" ref="J72:J79" si="18">(D$33-D$34)*I72+J71</f>
        <v>322.53389168328778</v>
      </c>
    </row>
    <row r="73" spans="3:11" x14ac:dyDescent="0.25">
      <c r="D73">
        <v>272</v>
      </c>
      <c r="E73">
        <v>207</v>
      </c>
      <c r="F73">
        <f t="shared" si="15"/>
        <v>56</v>
      </c>
      <c r="G73">
        <f t="shared" si="16"/>
        <v>-139</v>
      </c>
      <c r="H73">
        <f t="shared" ref="H73:H78" si="19">SQRT(F73^2 + G73^2)</f>
        <v>149.85659811966906</v>
      </c>
      <c r="I73">
        <f t="shared" si="17"/>
        <v>0.11872380613622795</v>
      </c>
      <c r="J73" s="5">
        <f t="shared" si="18"/>
        <v>381.89579475140175</v>
      </c>
    </row>
    <row r="74" spans="3:11" x14ac:dyDescent="0.25">
      <c r="D74" s="4">
        <v>221</v>
      </c>
      <c r="E74" s="4">
        <v>196</v>
      </c>
      <c r="F74">
        <f t="shared" si="15"/>
        <v>51</v>
      </c>
      <c r="G74">
        <f t="shared" si="16"/>
        <v>11</v>
      </c>
      <c r="H74">
        <f t="shared" si="19"/>
        <v>52.172789842982326</v>
      </c>
      <c r="I74">
        <f t="shared" si="17"/>
        <v>4.1333863604444111E-2</v>
      </c>
      <c r="J74" s="6">
        <v>371.86530965343741</v>
      </c>
      <c r="K74">
        <v>400</v>
      </c>
    </row>
    <row r="75" spans="3:11" x14ac:dyDescent="0.25">
      <c r="D75" s="6">
        <v>78</v>
      </c>
      <c r="E75" s="6">
        <v>155</v>
      </c>
      <c r="F75" s="6">
        <f t="shared" si="15"/>
        <v>143</v>
      </c>
      <c r="G75" s="6">
        <f t="shared" si="16"/>
        <v>41</v>
      </c>
      <c r="H75" s="6">
        <f t="shared" si="19"/>
        <v>148.7615541731129</v>
      </c>
      <c r="I75" s="6">
        <f t="shared" si="17"/>
        <v>0.11785625818136403</v>
      </c>
      <c r="J75" s="6">
        <f t="shared" si="18"/>
        <v>430.79343874411944</v>
      </c>
    </row>
    <row r="76" spans="3:11" x14ac:dyDescent="0.25">
      <c r="D76" s="3">
        <v>222</v>
      </c>
      <c r="E76" s="3">
        <v>240</v>
      </c>
      <c r="F76" s="6">
        <f t="shared" si="15"/>
        <v>-144</v>
      </c>
      <c r="G76" s="6">
        <f t="shared" si="16"/>
        <v>-85</v>
      </c>
      <c r="H76" s="6">
        <f t="shared" si="19"/>
        <v>167.21542991004151</v>
      </c>
      <c r="I76" s="6">
        <f t="shared" si="17"/>
        <v>0.13247633092386404</v>
      </c>
      <c r="J76" s="6">
        <f t="shared" si="18"/>
        <v>497.0316042060515</v>
      </c>
    </row>
    <row r="77" spans="3:11" x14ac:dyDescent="0.25">
      <c r="D77" s="6">
        <v>455</v>
      </c>
      <c r="E77" s="6">
        <v>374</v>
      </c>
      <c r="F77" s="6">
        <f t="shared" si="15"/>
        <v>-233</v>
      </c>
      <c r="G77" s="6">
        <f t="shared" si="16"/>
        <v>-134</v>
      </c>
      <c r="H77" s="6">
        <f t="shared" si="19"/>
        <v>268.78430013674534</v>
      </c>
      <c r="I77" s="6">
        <f t="shared" si="17"/>
        <v>0.21294421161498561</v>
      </c>
      <c r="J77" s="6">
        <f t="shared" si="18"/>
        <v>603.50371001354426</v>
      </c>
    </row>
    <row r="78" spans="3:11" x14ac:dyDescent="0.25">
      <c r="D78" s="3">
        <v>379</v>
      </c>
      <c r="E78" s="3">
        <v>252</v>
      </c>
      <c r="F78" s="6">
        <f>D77-D78</f>
        <v>76</v>
      </c>
      <c r="G78" s="6">
        <f t="shared" si="16"/>
        <v>122</v>
      </c>
      <c r="H78" s="6">
        <f t="shared" si="19"/>
        <v>143.73586887064761</v>
      </c>
      <c r="I78" s="6">
        <f t="shared" si="17"/>
        <v>0.11387466180830939</v>
      </c>
      <c r="J78" s="6">
        <f t="shared" si="18"/>
        <v>660.44104091769896</v>
      </c>
    </row>
    <row r="79" spans="3:11" x14ac:dyDescent="0.25">
      <c r="D79">
        <v>322</v>
      </c>
      <c r="E79">
        <v>170</v>
      </c>
      <c r="F79">
        <f>D78-D79</f>
        <v>57</v>
      </c>
      <c r="G79">
        <f t="shared" si="16"/>
        <v>82</v>
      </c>
      <c r="H79">
        <f>SQRT(F79^2 + G79^2)</f>
        <v>99.864908751773257</v>
      </c>
      <c r="I79">
        <f t="shared" si="17"/>
        <v>7.9117918164601966E-2</v>
      </c>
      <c r="J79" s="6">
        <f t="shared" si="18"/>
        <v>699.99999999999989</v>
      </c>
    </row>
    <row r="81" spans="3:10" x14ac:dyDescent="0.25">
      <c r="C81" t="s">
        <v>4</v>
      </c>
      <c r="D81">
        <f>SUM(H71:H79)</f>
        <v>1262.228722247316</v>
      </c>
    </row>
    <row r="82" spans="3:10" x14ac:dyDescent="0.25">
      <c r="C82" t="s">
        <v>6</v>
      </c>
      <c r="D82">
        <v>700</v>
      </c>
    </row>
    <row r="83" spans="3:10" x14ac:dyDescent="0.25">
      <c r="C83" t="s">
        <v>11</v>
      </c>
      <c r="D83">
        <v>200</v>
      </c>
    </row>
    <row r="86" spans="3:10" x14ac:dyDescent="0.25">
      <c r="C86" t="s">
        <v>20</v>
      </c>
      <c r="D86" s="3">
        <v>272</v>
      </c>
      <c r="E86" s="3">
        <v>78</v>
      </c>
      <c r="J86">
        <v>300</v>
      </c>
    </row>
    <row r="87" spans="3:10" x14ac:dyDescent="0.25">
      <c r="D87">
        <v>328</v>
      </c>
      <c r="E87">
        <v>68</v>
      </c>
      <c r="F87">
        <f t="shared" ref="F87" si="20">D86-D87</f>
        <v>-56</v>
      </c>
      <c r="G87">
        <f t="shared" ref="G87" si="21">E86-E87</f>
        <v>10</v>
      </c>
      <c r="H87">
        <f>SQRT(F87^2 + G87^2)</f>
        <v>56.885850613311568</v>
      </c>
      <c r="I87">
        <f>H87/$D$92</f>
        <v>0.21970839154228414</v>
      </c>
      <c r="J87" s="5">
        <f>($J$89-$J$86)*I87+J86</f>
        <v>321.97083915422843</v>
      </c>
    </row>
    <row r="88" spans="3:10" x14ac:dyDescent="0.25">
      <c r="D88">
        <v>272</v>
      </c>
      <c r="E88">
        <v>207</v>
      </c>
      <c r="F88">
        <f t="shared" ref="F88:F89" si="22">D87-D88</f>
        <v>56</v>
      </c>
      <c r="G88">
        <f t="shared" ref="G88:G89" si="23">E87-E88</f>
        <v>-139</v>
      </c>
      <c r="H88">
        <f>SQRT(F88^2 + G88^2)</f>
        <v>149.85659811966906</v>
      </c>
      <c r="I88">
        <f t="shared" ref="I88:I89" si="24">H88/$D$92</f>
        <v>0.57878631997051333</v>
      </c>
      <c r="J88" s="5">
        <f>($J$89-$J$86)*I88+J87</f>
        <v>379.84947115127977</v>
      </c>
    </row>
    <row r="89" spans="3:10" x14ac:dyDescent="0.25">
      <c r="D89" s="3">
        <v>221</v>
      </c>
      <c r="E89" s="3">
        <v>196</v>
      </c>
      <c r="F89">
        <f t="shared" si="22"/>
        <v>51</v>
      </c>
      <c r="G89">
        <f t="shared" si="23"/>
        <v>11</v>
      </c>
      <c r="H89">
        <f t="shared" ref="H88:H89" si="25">SQRT(F89^2 + G89^2)</f>
        <v>52.172789842982326</v>
      </c>
      <c r="I89">
        <f t="shared" si="24"/>
        <v>0.20150528848720273</v>
      </c>
      <c r="J89">
        <v>400</v>
      </c>
    </row>
    <row r="92" spans="3:10" x14ac:dyDescent="0.25">
      <c r="C92" t="s">
        <v>16</v>
      </c>
      <c r="D92">
        <f>SUM(H87:H89)</f>
        <v>258.91523857596292</v>
      </c>
    </row>
    <row r="95" spans="3:10" x14ac:dyDescent="0.25">
      <c r="C95" t="s">
        <v>21</v>
      </c>
      <c r="D95" s="3">
        <v>221</v>
      </c>
      <c r="E95" s="3">
        <v>196</v>
      </c>
      <c r="J95">
        <v>400</v>
      </c>
    </row>
    <row r="96" spans="3:10" x14ac:dyDescent="0.25">
      <c r="D96">
        <v>78</v>
      </c>
      <c r="E96">
        <v>155</v>
      </c>
      <c r="F96">
        <f>D95-D96</f>
        <v>143</v>
      </c>
      <c r="G96">
        <f>E95-E96</f>
        <v>41</v>
      </c>
      <c r="H96">
        <f>SQRT(F96^2 + G96^2)</f>
        <v>148.7615541731129</v>
      </c>
      <c r="I96">
        <f>H96/$D$99</f>
        <v>0.47079870264843054</v>
      </c>
      <c r="J96" s="5">
        <f>(J97-J95)*I96+J95</f>
        <v>445.68235337610503</v>
      </c>
    </row>
    <row r="97" spans="3:10" x14ac:dyDescent="0.25">
      <c r="D97" s="3">
        <v>222</v>
      </c>
      <c r="E97" s="3">
        <v>240</v>
      </c>
      <c r="F97">
        <f>D96-D97</f>
        <v>-144</v>
      </c>
      <c r="G97">
        <f>E96-E97</f>
        <v>-85</v>
      </c>
      <c r="H97">
        <f t="shared" ref="H96:H97" si="26">SQRT(F97^2 + G97^2)</f>
        <v>167.21542991004151</v>
      </c>
      <c r="I97">
        <f>H97/$D$99</f>
        <v>0.5292012973515694</v>
      </c>
      <c r="J97">
        <v>497.0316042060515</v>
      </c>
    </row>
    <row r="99" spans="3:10" x14ac:dyDescent="0.25">
      <c r="C99" t="s">
        <v>18</v>
      </c>
      <c r="D99">
        <f>SUM(H96:H97)</f>
        <v>315.97698408315443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F8DD38F0E58143BF6B8D6F9263F560" ma:contentTypeVersion="1" ma:contentTypeDescription="Create a new document." ma:contentTypeScope="" ma:versionID="f28af59097e59dd00d092d5c2d8a3f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f00218fb74448b17251dbb5ce984e5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0D62C7E-0D1D-48EA-A8D4-2FC7F32A50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F1E865F-2400-4BFF-B814-F126B2735A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21ABA0-F57E-4521-9352-6A10952FEFFD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Hill</dc:creator>
  <cp:lastModifiedBy>Cory Hill</cp:lastModifiedBy>
  <dcterms:created xsi:type="dcterms:W3CDTF">2021-07-14T18:57:51Z</dcterms:created>
  <dcterms:modified xsi:type="dcterms:W3CDTF">2021-07-14T20:58:25Z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0x01010072F8DD38F0E58143BF6B8D6F9263F560</vt:lpwstr>
  </property>
</Properties>
</file>